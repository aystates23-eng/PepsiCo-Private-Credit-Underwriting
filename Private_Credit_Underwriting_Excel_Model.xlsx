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0EAF696-7509-4DD3-A241-B3D50A6C2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 &amp; Summary" sheetId="1" r:id="rId1"/>
    <sheet name="Historical Financials" sheetId="2" r:id="rId2"/>
    <sheet name="Credit Metrics" sheetId="3" r:id="rId3"/>
    <sheet name="Debt Capacity" sheetId="4" r:id="rId4"/>
    <sheet name="Stress Test" sheetId="5" r:id="rId5"/>
    <sheet name="Dashboard" sheetId="6" r:id="rId6"/>
    <sheet name="Methodology &amp; Assump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D8" i="5"/>
  <c r="E7" i="5"/>
  <c r="D7" i="5"/>
  <c r="E6" i="5"/>
  <c r="D6" i="5"/>
  <c r="B16" i="4"/>
  <c r="B17" i="4" s="1"/>
  <c r="B18" i="4" s="1"/>
  <c r="B14" i="4"/>
  <c r="B15" i="4" s="1"/>
  <c r="B13" i="4"/>
  <c r="B7" i="4"/>
  <c r="B6" i="4"/>
  <c r="B9" i="4" s="1"/>
  <c r="B10" i="4" s="1"/>
  <c r="B10" i="3"/>
  <c r="B8" i="3"/>
  <c r="B26" i="1"/>
  <c r="B23" i="1"/>
  <c r="B25" i="1" s="1"/>
  <c r="B27" i="1" s="1"/>
  <c r="B22" i="1"/>
  <c r="B24" i="1" s="1"/>
  <c r="B21" i="1"/>
  <c r="B10" i="1"/>
</calcChain>
</file>

<file path=xl/sharedStrings.xml><?xml version="1.0" encoding="utf-8"?>
<sst xmlns="http://schemas.openxmlformats.org/spreadsheetml/2006/main" count="194" uniqueCount="144">
  <si>
    <t>Private Credit Underwriting &amp; Borrower Risk Assessment</t>
  </si>
  <si>
    <t>PepsiCo, Inc. (PEP) | Excel companion model | Illustrative portfolio project</t>
  </si>
  <si>
    <t>Model purpose</t>
  </si>
  <si>
    <t>Lender-style analysis of leverage, debt service, free cash flow, debt capacity, stress scenarios and post-deal headroom.</t>
  </si>
  <si>
    <t>Executive Credit Snapshot</t>
  </si>
  <si>
    <t>FY2025 Revenue ($bn)</t>
  </si>
  <si>
    <t>FY2025 EBITDA ($bn)</t>
  </si>
  <si>
    <t>FY2025 Net Debt ($bn)</t>
  </si>
  <si>
    <t>Net Debt / EBITDA</t>
  </si>
  <si>
    <t>Interest Coverage</t>
  </si>
  <si>
    <t>FCF / Debt</t>
  </si>
  <si>
    <t>Illustrative Risk Score</t>
  </si>
  <si>
    <t>Proposed Facility ($bn)</t>
  </si>
  <si>
    <t>Key Post-Deal Outputs</t>
  </si>
  <si>
    <t>Max leverage threshold</t>
  </si>
  <si>
    <t>Proposed debt ($bn)</t>
  </si>
  <si>
    <t>Proposed interest rate</t>
  </si>
  <si>
    <t>FY2025 interest expense ($bn)</t>
  </si>
  <si>
    <t>Incremental annual interest ($bn)</t>
  </si>
  <si>
    <t>Post-deal Net Debt ($bn)</t>
  </si>
  <si>
    <t>Post-deal Net Debt / EBITDA</t>
  </si>
  <si>
    <t>Post-deal Interest Coverage</t>
  </si>
  <si>
    <t>4.0x Maximum Net Debt ($bn)</t>
  </si>
  <si>
    <t>Incremental Debt Capacity ($bn)</t>
  </si>
  <si>
    <t>Disclosure</t>
  </si>
  <si>
    <t>Illustrative portfolio analysis only. Facility, rate, thresholds, scenario assumptions and internal risk score are hypothetical; this is not an actual credit rating, lending recommendation, or representation of PepsiCo financing terms.</t>
  </si>
  <si>
    <t>Data note</t>
  </si>
  <si>
    <t>Core outputs are carried from the executed Python/Colab model. The underlying model used programmatic Yahoo Finance data; professional underwriting should reconcile figures to primary filings.</t>
  </si>
  <si>
    <t>Historical Financials</t>
  </si>
  <si>
    <t>Selected historical credit indicators from the executed Python model</t>
  </si>
  <si>
    <t>Historical Credit Profile</t>
  </si>
  <si>
    <t>Metric</t>
  </si>
  <si>
    <t>Free Cash Flow ($bn)</t>
  </si>
  <si>
    <t>FY2025 Selected Financials</t>
  </si>
  <si>
    <t>Revenue ($bn)</t>
  </si>
  <si>
    <t>EBITDA ($bn)</t>
  </si>
  <si>
    <t>Net Debt ($bn)</t>
  </si>
  <si>
    <t>FCF ($bn)</t>
  </si>
  <si>
    <t>Limitation</t>
  </si>
  <si>
    <t>Only supported project outputs are shown; unsupported financial line items are intentionally not fabricated.</t>
  </si>
  <si>
    <t>Credit Metrics</t>
  </si>
  <si>
    <t>FY2025 lender-style metrics and illustrative risk score</t>
  </si>
  <si>
    <t>FY2025 Credit Metrics</t>
  </si>
  <si>
    <t>Value</t>
  </si>
  <si>
    <t>Note</t>
  </si>
  <si>
    <t>Project input</t>
  </si>
  <si>
    <t>EBITDA Margin</t>
  </si>
  <si>
    <t>EBITDA / Revenue</t>
  </si>
  <si>
    <t>Net debt / EBITDA</t>
  </si>
  <si>
    <t>EBITDA / interest expense</t>
  </si>
  <si>
    <t>Project output</t>
  </si>
  <si>
    <t>Lower = lower modeled risk; not an external rating</t>
  </si>
  <si>
    <t>Illustrative Risk Score Framework</t>
  </si>
  <si>
    <t>Component</t>
  </si>
  <si>
    <t>Weight</t>
  </si>
  <si>
    <t>Model input</t>
  </si>
  <si>
    <t>Leverage</t>
  </si>
  <si>
    <t>Free cash flow relative to debt</t>
  </si>
  <si>
    <t>The 1.60 / 5 score is an illustrative internal model output, not a Moody's, S&amp;P, Fitch, or other agency rating.</t>
  </si>
  <si>
    <t>Debt Capacity</t>
  </si>
  <si>
    <t>Hypothetical facility sizing and post-deal leverage / coverage</t>
  </si>
  <si>
    <t>Debt Capacity Analysis</t>
  </si>
  <si>
    <t>Formula / note</t>
  </si>
  <si>
    <t>Linked from summary</t>
  </si>
  <si>
    <t>Current Net Debt ($bn)</t>
  </si>
  <si>
    <t>Maximum Net Debt / EBITDA</t>
  </si>
  <si>
    <t>Hypothetical threshold</t>
  </si>
  <si>
    <t>Maximum Net Debt ($bn)</t>
  </si>
  <si>
    <t>EBITDA × max leverage</t>
  </si>
  <si>
    <t>Maximum net debt − current net debt</t>
  </si>
  <si>
    <t>Hypothetical</t>
  </si>
  <si>
    <t>Proposed Interest Rate</t>
  </si>
  <si>
    <t>Incremental Annual Interest ($bn)</t>
  </si>
  <si>
    <t>Proposed debt × rate</t>
  </si>
  <si>
    <t>Current net debt + proposed facility</t>
  </si>
  <si>
    <t>Post-deal leverage</t>
  </si>
  <si>
    <t>Existing Interest Expense ($bn)</t>
  </si>
  <si>
    <t>Derived from EBITDA / coverage</t>
  </si>
  <si>
    <t>Post-deal Interest Expense ($bn)</t>
  </si>
  <si>
    <t>Existing + incremental</t>
  </si>
  <si>
    <t>EBITDA / post-deal interest</t>
  </si>
  <si>
    <t>Interpretation</t>
  </si>
  <si>
    <t>At the hypothetical 4.0x leverage threshold, the model shows approximately $22.15bn of incremental net-debt capacity. The proposed $2.0bn facility moves leverage to about 2.70x.</t>
  </si>
  <si>
    <t>Stress Test</t>
  </si>
  <si>
    <t>Forward scenario outputs carried from the executed Python model</t>
  </si>
  <si>
    <t>Post-Deal Scenario Analysis</t>
  </si>
  <si>
    <t>Scenario</t>
  </si>
  <si>
    <t>Leverage Headroom</t>
  </si>
  <si>
    <t>Coverage Headroom</t>
  </si>
  <si>
    <t>Base</t>
  </si>
  <si>
    <t>Downside</t>
  </si>
  <si>
    <t>Severe</t>
  </si>
  <si>
    <t>Scenario Assumptions</t>
  </si>
  <si>
    <t>Revenue Shock</t>
  </si>
  <si>
    <t>EBITDA Margin Shock</t>
  </si>
  <si>
    <t>Interest Shock</t>
  </si>
  <si>
    <t>+5%</t>
  </si>
  <si>
    <t>No change</t>
  </si>
  <si>
    <t>-5%</t>
  </si>
  <si>
    <t>-300 bps</t>
  </si>
  <si>
    <t>+15%</t>
  </si>
  <si>
    <t>-15%</t>
  </si>
  <si>
    <t>-600 bps</t>
  </si>
  <si>
    <t>+30%</t>
  </si>
  <si>
    <t>Modeling note</t>
  </si>
  <si>
    <t>Scenario outputs are carried from the executed Python model; this workbook does not recreate every underlying operating calculation from the full Python dataset.</t>
  </si>
  <si>
    <t>Credit Underwriting Dashboard</t>
  </si>
  <si>
    <t>Visual summary for lender / credit committee discussion</t>
  </si>
  <si>
    <t>Historical Leverage &amp; Coverage</t>
  </si>
  <si>
    <t>Post-Deal Stress</t>
  </si>
  <si>
    <t>Coverage</t>
  </si>
  <si>
    <t>Credit committee takeaway</t>
  </si>
  <si>
    <t>Base and downside cases remain below the 4.0x leverage threshold, while the severe case exceeds it. Coverage remains above the 3.0x minimum in all three modeled scenarios.</t>
  </si>
  <si>
    <t>Methodology &amp; Assumptions</t>
  </si>
  <si>
    <t>Definitions, assumptions, sources and limitations</t>
  </si>
  <si>
    <t>Core Assumptions</t>
  </si>
  <si>
    <t>Borrower</t>
  </si>
  <si>
    <t>PepsiCo, Inc. (PEP)</t>
  </si>
  <si>
    <t>Max Net Debt / EBITDA threshold</t>
  </si>
  <si>
    <t>4.0x</t>
  </si>
  <si>
    <t>Minimum Interest Coverage threshold</t>
  </si>
  <si>
    <t>3.0x</t>
  </si>
  <si>
    <t>Proposed facility</t>
  </si>
  <si>
    <t>$2.0bn hypothetical</t>
  </si>
  <si>
    <t>8.0% hypothetical</t>
  </si>
  <si>
    <t>Incremental annual interest</t>
  </si>
  <si>
    <t>$160m = $2.0bn × 8.0%</t>
  </si>
  <si>
    <t>Risk score</t>
  </si>
  <si>
    <t>1.60 / 5; lower = lower modeled risk</t>
  </si>
  <si>
    <t>Metric Definitions</t>
  </si>
  <si>
    <t>Net debt divided by EBITDA; primary leverage measure.</t>
  </si>
  <si>
    <t>EBITDA divided by interest expense.</t>
  </si>
  <si>
    <t>Free cash flow divided by debt; project output.</t>
  </si>
  <si>
    <t>Maximum permitted net debt at the selected leverage threshold less current net debt.</t>
  </si>
  <si>
    <t>Headroom</t>
  </si>
  <si>
    <t>Difference between the relevant threshold and the modeled metric.</t>
  </si>
  <si>
    <t>Sources &amp; Limitations</t>
  </si>
  <si>
    <t>• Core outputs are carried from the executed Python/Google Colab project model.</t>
  </si>
  <si>
    <t>• The Python model used programmatic Yahoo Finance data for financial statement extraction.</t>
  </si>
  <si>
    <t>• Professional underwriting should reconcile historical figures to PepsiCo's primary company/SEC filings.</t>
  </si>
  <si>
    <t>• EBITDA in the Python project is EBIT plus a D&amp;A proxy; it is not adjusted EBITDA.</t>
  </si>
  <si>
    <t>• Facility amount, interest rate, thresholds and scenario assumptions are hypothetical.</t>
  </si>
  <si>
    <t>• The risk score is an illustrative internal framework, not an external credit rating.</t>
  </si>
  <si>
    <t>• This project is educational / portfolio work and not a lending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</si>
</sst>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x"/>
    <numFmt numFmtId="165" formatCode="0.0%"/>
    <numFmt numFmtId="166" formatCode="0.000"/>
  </numFmts>
  <fonts count="6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sz val="10"/>
      <color rgb="FF222222"/>
      <name val="Aptos"/>
    </font>
    <font>
      <sz val="10"/>
      <color theme="2"/>
      <name val="Aptos"/>
    </font>
    <font>
      <sz val="11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2" fontId="0" fillId="5" borderId="1" xfId="0" applyNumberFormat="1" applyFill="1" applyBorder="1" applyAlignment="1">
      <alignment vertical="center"/>
    </xf>
    <xf numFmtId="165" fontId="0" fillId="5" borderId="1" xfId="0" applyNumberFormat="1" applyFill="1" applyBorder="1" applyAlignment="1">
      <alignment vertical="center"/>
    </xf>
    <xf numFmtId="166" fontId="0" fillId="5" borderId="1" xfId="0" applyNumberFormat="1" applyFill="1" applyBorder="1" applyAlignment="1">
      <alignment vertical="center"/>
    </xf>
    <xf numFmtId="166" fontId="0" fillId="6" borderId="1" xfId="0" applyNumberFormat="1" applyFill="1" applyBorder="1" applyAlignment="1">
      <alignment vertical="center"/>
    </xf>
    <xf numFmtId="2" fontId="0" fillId="6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0" fontId="3" fillId="2" borderId="0" xfId="0" applyFont="1" applyFill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3" borderId="0" xfId="0" applyFont="1" applyFill="1"/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Historical Credit Metrics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Dashboard!$A$6</c:f>
              <c:strCache>
                <c:ptCount val="1"/>
                <c:pt idx="0">
                  <c:v>Net Debt /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Dashboard!$B$5:$E$5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Dashboard!$B$6:$E$6</c:f>
              <c:numCache>
                <c:formatCode>0.00\x</c:formatCode>
                <c:ptCount val="4"/>
                <c:pt idx="0">
                  <c:v>2.286</c:v>
                </c:pt>
                <c:pt idx="1">
                  <c:v>2.1829999999999998</c:v>
                </c:pt>
                <c:pt idx="2">
                  <c:v>2.1459999999999999</c:v>
                </c:pt>
                <c:pt idx="3">
                  <c:v>2.5750000000000002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8E-4BE1-9FD6-6C9374E10CF1}"/>
            </c:ext>
          </c:extLst>
        </c:ser>
        <c:ser>
          <c:idx val="1"/>
          <c:order val="1"/>
          <c:tx>
            <c:strRef>
              <c:f>Dashboard!$A$7</c:f>
              <c:strCache>
                <c:ptCount val="1"/>
                <c:pt idx="0">
                  <c:v>Interest Coverage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Dashboard!$B$5:$E$5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Dashboard!$B$7:$E$7</c:f>
              <c:numCache>
                <c:formatCode>0.00\x</c:formatCode>
                <c:ptCount val="4"/>
                <c:pt idx="0">
                  <c:v>15.894</c:v>
                </c:pt>
                <c:pt idx="1">
                  <c:v>19.236000000000001</c:v>
                </c:pt>
                <c:pt idx="2">
                  <c:v>18.149999999999999</c:v>
                </c:pt>
                <c:pt idx="3">
                  <c:v>13.865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8E-4BE1-9FD6-6C9374E10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Post-Deal Leverage by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Leverage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Dashboard!$A$27:$A$29</c:f>
              <c:strCache>
                <c:ptCount val="3"/>
                <c:pt idx="0">
                  <c:v>Base</c:v>
                </c:pt>
                <c:pt idx="1">
                  <c:v>Downside</c:v>
                </c:pt>
                <c:pt idx="2">
                  <c:v>Severe</c:v>
                </c:pt>
              </c:strCache>
            </c:strRef>
          </c:cat>
          <c:val>
            <c:numRef>
              <c:f>Dashboard!$B$27:$B$29</c:f>
              <c:numCache>
                <c:formatCode>0.00\x</c:formatCode>
                <c:ptCount val="3"/>
                <c:pt idx="0">
                  <c:v>2.46</c:v>
                </c:pt>
                <c:pt idx="1">
                  <c:v>3.29</c:v>
                </c:pt>
                <c:pt idx="2">
                  <c:v>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8-4999-9932-2995C4A9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Debt / EBITDA</a:t>
                </a:r>
              </a:p>
            </c:rich>
          </c:tx>
          <c:overlay val="1"/>
        </c:title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25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35"/>
  <sheetViews>
    <sheetView showGridLines="0" tabSelected="1" workbookViewId="0">
      <pane ySplit="4" topLeftCell="A5" activePane="bottomLeft" state="frozen"/>
      <selection pane="bottomLeft" activeCell="A17" sqref="A17:H17"/>
    </sheetView>
  </sheetViews>
  <sheetFormatPr defaultRowHeight="14.4"/>
  <cols>
    <col min="1" max="1" width="43" customWidth="1"/>
    <col min="2" max="2" width="19" customWidth="1"/>
    <col min="3" max="8" width="18" customWidth="1"/>
  </cols>
  <sheetData>
    <row r="1" spans="1:8" ht="22.8">
      <c r="A1" s="25" t="s">
        <v>0</v>
      </c>
      <c r="B1" s="23"/>
      <c r="C1" s="23"/>
      <c r="D1" s="23"/>
      <c r="E1" s="23"/>
      <c r="F1" s="23"/>
      <c r="G1" s="23"/>
      <c r="H1" s="23"/>
    </row>
    <row r="2" spans="1:8">
      <c r="A2" s="22" t="s">
        <v>1</v>
      </c>
      <c r="B2" s="23"/>
      <c r="C2" s="23"/>
      <c r="D2" s="23"/>
      <c r="E2" s="23"/>
      <c r="F2" s="23"/>
      <c r="G2" s="23"/>
      <c r="H2" s="23"/>
    </row>
    <row r="4" spans="1:8" ht="86.4">
      <c r="A4" s="1" t="s">
        <v>2</v>
      </c>
      <c r="B4" s="2" t="s">
        <v>3</v>
      </c>
    </row>
    <row r="6" spans="1:8">
      <c r="A6" s="29" t="s">
        <v>4</v>
      </c>
      <c r="B6" s="30"/>
      <c r="C6" s="30"/>
      <c r="D6" s="30"/>
      <c r="E6" s="30"/>
      <c r="F6" s="30"/>
      <c r="G6" s="30"/>
      <c r="H6" s="30"/>
    </row>
    <row r="7" spans="1:8">
      <c r="A7" s="3" t="s">
        <v>5</v>
      </c>
      <c r="B7" s="4">
        <v>93.92</v>
      </c>
    </row>
    <row r="8" spans="1:8">
      <c r="A8" s="3" t="s">
        <v>6</v>
      </c>
      <c r="B8" s="4">
        <v>15.54</v>
      </c>
    </row>
    <row r="9" spans="1:8">
      <c r="A9" s="3" t="s">
        <v>7</v>
      </c>
      <c r="B9" s="4">
        <v>40.020000000000003</v>
      </c>
    </row>
    <row r="10" spans="1:8">
      <c r="A10" s="3" t="s">
        <v>8</v>
      </c>
      <c r="B10" s="5">
        <f>B9/B8</f>
        <v>2.5752895752895757</v>
      </c>
    </row>
    <row r="11" spans="1:8">
      <c r="A11" s="3" t="s">
        <v>9</v>
      </c>
      <c r="B11" s="5">
        <v>13.865</v>
      </c>
    </row>
    <row r="12" spans="1:8">
      <c r="A12" s="3" t="s">
        <v>10</v>
      </c>
      <c r="B12" s="6">
        <v>0.156</v>
      </c>
    </row>
    <row r="13" spans="1:8">
      <c r="A13" s="3" t="s">
        <v>11</v>
      </c>
      <c r="B13" s="4">
        <v>1.6</v>
      </c>
    </row>
    <row r="14" spans="1:8">
      <c r="A14" s="3" t="s">
        <v>12</v>
      </c>
      <c r="B14" s="4">
        <v>2</v>
      </c>
    </row>
    <row r="17" spans="1:8">
      <c r="A17" s="29" t="s">
        <v>13</v>
      </c>
      <c r="B17" s="30"/>
      <c r="C17" s="30"/>
      <c r="D17" s="30"/>
      <c r="E17" s="30"/>
      <c r="F17" s="30"/>
      <c r="G17" s="30"/>
      <c r="H17" s="30"/>
    </row>
    <row r="18" spans="1:8">
      <c r="A18" s="3" t="s">
        <v>14</v>
      </c>
      <c r="B18" s="7">
        <v>4</v>
      </c>
    </row>
    <row r="19" spans="1:8">
      <c r="A19" s="3" t="s">
        <v>15</v>
      </c>
      <c r="B19" s="8">
        <v>2</v>
      </c>
    </row>
    <row r="20" spans="1:8">
      <c r="A20" s="3" t="s">
        <v>16</v>
      </c>
      <c r="B20" s="9">
        <v>0.08</v>
      </c>
    </row>
    <row r="21" spans="1:8">
      <c r="A21" s="3" t="s">
        <v>17</v>
      </c>
      <c r="B21" s="10">
        <f>B8/B11</f>
        <v>1.1208077893977642</v>
      </c>
    </row>
    <row r="22" spans="1:8">
      <c r="A22" s="3" t="s">
        <v>18</v>
      </c>
      <c r="B22" s="11">
        <f>B19*B20</f>
        <v>0.16</v>
      </c>
    </row>
    <row r="23" spans="1:8">
      <c r="A23" s="3" t="s">
        <v>19</v>
      </c>
      <c r="B23" s="12">
        <f>B9+B19</f>
        <v>42.02</v>
      </c>
    </row>
    <row r="24" spans="1:8">
      <c r="A24" s="3" t="s">
        <v>20</v>
      </c>
      <c r="B24" s="13">
        <f>B22/B8</f>
        <v>1.0296010296010297E-2</v>
      </c>
    </row>
    <row r="25" spans="1:8">
      <c r="A25" s="3" t="s">
        <v>21</v>
      </c>
      <c r="B25" s="13">
        <f>B8/(B21+B23)</f>
        <v>0.36021578631216755</v>
      </c>
    </row>
    <row r="26" spans="1:8">
      <c r="A26" s="3" t="s">
        <v>22</v>
      </c>
      <c r="B26" s="12">
        <f>B8*B18</f>
        <v>62.16</v>
      </c>
    </row>
    <row r="27" spans="1:8">
      <c r="A27" s="3" t="s">
        <v>23</v>
      </c>
      <c r="B27" s="12">
        <f>B25-B9</f>
        <v>-39.659784213687836</v>
      </c>
    </row>
    <row r="29" spans="1:8">
      <c r="A29" s="1" t="s">
        <v>24</v>
      </c>
      <c r="B29" s="24" t="s">
        <v>25</v>
      </c>
      <c r="C29" s="23"/>
      <c r="D29" s="23"/>
      <c r="E29" s="23"/>
      <c r="F29" s="23"/>
      <c r="G29" s="23"/>
      <c r="H29" s="23"/>
    </row>
    <row r="30" spans="1:8">
      <c r="B30" s="23"/>
      <c r="C30" s="23"/>
      <c r="D30" s="23"/>
      <c r="E30" s="23"/>
      <c r="F30" s="23"/>
      <c r="G30" s="23"/>
      <c r="H30" s="23"/>
    </row>
    <row r="31" spans="1:8">
      <c r="B31" s="23"/>
      <c r="C31" s="23"/>
      <c r="D31" s="23"/>
      <c r="E31" s="23"/>
      <c r="F31" s="23"/>
      <c r="G31" s="23"/>
      <c r="H31" s="23"/>
    </row>
    <row r="33" spans="1:8">
      <c r="A33" t="s">
        <v>26</v>
      </c>
      <c r="B33" s="24" t="s">
        <v>27</v>
      </c>
      <c r="C33" s="23"/>
      <c r="D33" s="23"/>
      <c r="E33" s="23"/>
      <c r="F33" s="23"/>
      <c r="G33" s="23"/>
      <c r="H33" s="23"/>
    </row>
    <row r="34" spans="1:8">
      <c r="B34" s="23"/>
      <c r="C34" s="23"/>
      <c r="D34" s="23"/>
      <c r="E34" s="23"/>
      <c r="F34" s="23"/>
      <c r="G34" s="23"/>
      <c r="H34" s="23"/>
    </row>
    <row r="35" spans="1:8">
      <c r="B35" s="23"/>
      <c r="C35" s="23"/>
      <c r="D35" s="23"/>
      <c r="E35" s="23"/>
      <c r="F35" s="23"/>
      <c r="G35" s="23"/>
      <c r="H35" s="23"/>
    </row>
  </sheetData>
  <mergeCells count="6">
    <mergeCell ref="A2:H2"/>
    <mergeCell ref="B29:H31"/>
    <mergeCell ref="A1:H1"/>
    <mergeCell ref="B33:H35"/>
    <mergeCell ref="A6:H6"/>
    <mergeCell ref="A17:H17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H20"/>
  <sheetViews>
    <sheetView showGridLines="0" workbookViewId="0">
      <pane ySplit="4" topLeftCell="A5" activePane="bottomLeft" state="frozen"/>
      <selection pane="bottomLeft" sqref="A1:H1"/>
    </sheetView>
  </sheetViews>
  <sheetFormatPr defaultRowHeight="14.4"/>
  <cols>
    <col min="1" max="1" width="32" customWidth="1"/>
    <col min="2" max="5" width="16" customWidth="1"/>
    <col min="6" max="6" width="18" customWidth="1"/>
  </cols>
  <sheetData>
    <row r="1" spans="1:8" ht="22.8">
      <c r="A1" s="25" t="s">
        <v>28</v>
      </c>
      <c r="B1" s="23"/>
      <c r="C1" s="23"/>
      <c r="D1" s="23"/>
      <c r="E1" s="23"/>
      <c r="F1" s="23"/>
      <c r="G1" s="23"/>
      <c r="H1" s="23"/>
    </row>
    <row r="2" spans="1:8">
      <c r="A2" s="22" t="s">
        <v>29</v>
      </c>
      <c r="B2" s="23"/>
      <c r="C2" s="23"/>
      <c r="D2" s="23"/>
      <c r="E2" s="23"/>
      <c r="F2" s="23"/>
      <c r="G2" s="23"/>
      <c r="H2" s="23"/>
    </row>
    <row r="4" spans="1:8">
      <c r="A4" s="26" t="s">
        <v>30</v>
      </c>
      <c r="B4" s="23"/>
      <c r="C4" s="23"/>
      <c r="D4" s="23"/>
      <c r="E4" s="23"/>
      <c r="F4" s="23"/>
    </row>
    <row r="5" spans="1:8">
      <c r="A5" s="14" t="s">
        <v>31</v>
      </c>
      <c r="B5" s="14">
        <v>2022</v>
      </c>
      <c r="C5" s="14">
        <v>2023</v>
      </c>
      <c r="D5" s="14">
        <v>2024</v>
      </c>
      <c r="E5" s="14">
        <v>2025</v>
      </c>
    </row>
    <row r="6" spans="1:8">
      <c r="A6" s="15" t="s">
        <v>8</v>
      </c>
      <c r="B6" s="16">
        <v>2.286</v>
      </c>
      <c r="C6" s="16">
        <v>2.1829999999999998</v>
      </c>
      <c r="D6" s="16">
        <v>2.1459999999999999</v>
      </c>
      <c r="E6" s="16">
        <v>2.5750000000000002</v>
      </c>
    </row>
    <row r="7" spans="1:8">
      <c r="A7" s="15" t="s">
        <v>9</v>
      </c>
      <c r="B7" s="16">
        <v>15.894</v>
      </c>
      <c r="C7" s="16">
        <v>19.236000000000001</v>
      </c>
      <c r="D7" s="16">
        <v>18.149999999999999</v>
      </c>
      <c r="E7" s="16">
        <v>13.865</v>
      </c>
    </row>
    <row r="8" spans="1:8">
      <c r="A8" s="15" t="s">
        <v>32</v>
      </c>
      <c r="B8" s="17">
        <v>5.6040000000000001</v>
      </c>
      <c r="C8" s="17">
        <v>7.9240000000000004</v>
      </c>
      <c r="D8" s="17">
        <v>7.1890000000000001</v>
      </c>
      <c r="E8" s="17">
        <v>7.6719999999999997</v>
      </c>
    </row>
    <row r="11" spans="1:8">
      <c r="A11" s="26" t="s">
        <v>33</v>
      </c>
      <c r="B11" s="23"/>
      <c r="C11" s="23"/>
      <c r="D11" s="23"/>
    </row>
    <row r="12" spans="1:8">
      <c r="A12" s="15" t="s">
        <v>34</v>
      </c>
      <c r="B12" s="18">
        <v>93.92</v>
      </c>
    </row>
    <row r="13" spans="1:8">
      <c r="A13" s="15" t="s">
        <v>35</v>
      </c>
      <c r="B13" s="18">
        <v>15.54</v>
      </c>
    </row>
    <row r="14" spans="1:8">
      <c r="A14" s="15" t="s">
        <v>36</v>
      </c>
      <c r="B14" s="18">
        <v>40.020000000000003</v>
      </c>
    </row>
    <row r="15" spans="1:8">
      <c r="A15" s="15" t="s">
        <v>37</v>
      </c>
      <c r="B15" s="17">
        <v>7.6719999999999997</v>
      </c>
    </row>
    <row r="16" spans="1:8">
      <c r="A16" s="15" t="s">
        <v>10</v>
      </c>
      <c r="B16" s="19">
        <v>0.156</v>
      </c>
    </row>
    <row r="18" spans="1:6">
      <c r="A18" t="s">
        <v>38</v>
      </c>
      <c r="B18" s="27" t="s">
        <v>39</v>
      </c>
      <c r="C18" s="23"/>
      <c r="D18" s="23"/>
      <c r="E18" s="23"/>
      <c r="F18" s="23"/>
    </row>
    <row r="19" spans="1:6">
      <c r="B19" s="23"/>
      <c r="C19" s="23"/>
      <c r="D19" s="23"/>
      <c r="E19" s="23"/>
      <c r="F19" s="23"/>
    </row>
    <row r="20" spans="1:6">
      <c r="B20" s="23"/>
      <c r="C20" s="23"/>
      <c r="D20" s="23"/>
      <c r="E20" s="23"/>
      <c r="F20" s="23"/>
    </row>
  </sheetData>
  <mergeCells count="5">
    <mergeCell ref="A1:H1"/>
    <mergeCell ref="A2:H2"/>
    <mergeCell ref="B18:F20"/>
    <mergeCell ref="A4:F4"/>
    <mergeCell ref="A11:D1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H24"/>
  <sheetViews>
    <sheetView showGridLines="0" workbookViewId="0">
      <pane ySplit="4" topLeftCell="A5" activePane="bottomLeft" state="frozen"/>
      <selection pane="bottomLeft" sqref="A1:H1"/>
    </sheetView>
  </sheetViews>
  <sheetFormatPr defaultRowHeight="14.4"/>
  <cols>
    <col min="1" max="1" width="38" customWidth="1"/>
    <col min="2" max="2" width="18" customWidth="1"/>
    <col min="3" max="3" width="45" customWidth="1"/>
  </cols>
  <sheetData>
    <row r="1" spans="1:8" ht="22.8">
      <c r="A1" s="25" t="s">
        <v>40</v>
      </c>
      <c r="B1" s="23"/>
      <c r="C1" s="23"/>
      <c r="D1" s="23"/>
      <c r="E1" s="23"/>
      <c r="F1" s="23"/>
      <c r="G1" s="23"/>
      <c r="H1" s="23"/>
    </row>
    <row r="2" spans="1:8">
      <c r="A2" s="22" t="s">
        <v>41</v>
      </c>
      <c r="B2" s="23"/>
      <c r="C2" s="23"/>
      <c r="D2" s="23"/>
      <c r="E2" s="23"/>
      <c r="F2" s="23"/>
      <c r="G2" s="23"/>
      <c r="H2" s="23"/>
    </row>
    <row r="4" spans="1:8">
      <c r="A4" s="26" t="s">
        <v>42</v>
      </c>
      <c r="B4" s="23"/>
      <c r="C4" s="23"/>
    </row>
    <row r="5" spans="1:8">
      <c r="A5" s="14" t="s">
        <v>31</v>
      </c>
      <c r="B5" s="14" t="s">
        <v>43</v>
      </c>
      <c r="C5" s="14" t="s">
        <v>44</v>
      </c>
    </row>
    <row r="6" spans="1:8">
      <c r="A6" s="15" t="s">
        <v>34</v>
      </c>
      <c r="B6" s="18">
        <v>93.92</v>
      </c>
      <c r="C6" s="15" t="s">
        <v>45</v>
      </c>
    </row>
    <row r="7" spans="1:8">
      <c r="A7" s="15" t="s">
        <v>35</v>
      </c>
      <c r="B7" s="18">
        <v>15.54</v>
      </c>
      <c r="C7" s="15" t="s">
        <v>45</v>
      </c>
    </row>
    <row r="8" spans="1:8">
      <c r="A8" s="15" t="s">
        <v>46</v>
      </c>
      <c r="B8" s="19">
        <f>B7/B6</f>
        <v>0.16545996592844972</v>
      </c>
      <c r="C8" s="15" t="s">
        <v>47</v>
      </c>
    </row>
    <row r="9" spans="1:8">
      <c r="A9" s="15" t="s">
        <v>36</v>
      </c>
      <c r="B9" s="18">
        <v>40.020000000000003</v>
      </c>
      <c r="C9" s="15" t="s">
        <v>45</v>
      </c>
    </row>
    <row r="10" spans="1:8">
      <c r="A10" s="15" t="s">
        <v>8</v>
      </c>
      <c r="B10" s="16">
        <f>B9/B7</f>
        <v>2.5752895752895757</v>
      </c>
      <c r="C10" s="15" t="s">
        <v>48</v>
      </c>
    </row>
    <row r="11" spans="1:8">
      <c r="A11" s="15" t="s">
        <v>9</v>
      </c>
      <c r="B11" s="16">
        <v>13.865</v>
      </c>
      <c r="C11" s="15" t="s">
        <v>49</v>
      </c>
    </row>
    <row r="12" spans="1:8">
      <c r="A12" s="15" t="s">
        <v>37</v>
      </c>
      <c r="B12" s="17">
        <v>7.6719999999999997</v>
      </c>
      <c r="C12" s="15" t="s">
        <v>50</v>
      </c>
    </row>
    <row r="13" spans="1:8">
      <c r="A13" s="15" t="s">
        <v>10</v>
      </c>
      <c r="B13" s="19">
        <v>0.156</v>
      </c>
      <c r="C13" s="15" t="s">
        <v>50</v>
      </c>
    </row>
    <row r="14" spans="1:8">
      <c r="A14" s="15" t="s">
        <v>11</v>
      </c>
      <c r="B14" s="18">
        <v>1.6</v>
      </c>
      <c r="C14" s="15" t="s">
        <v>51</v>
      </c>
    </row>
    <row r="17" spans="1:3">
      <c r="A17" s="26" t="s">
        <v>52</v>
      </c>
      <c r="B17" s="23"/>
      <c r="C17" s="23"/>
    </row>
    <row r="18" spans="1:3">
      <c r="A18" s="14" t="s">
        <v>53</v>
      </c>
      <c r="B18" s="14" t="s">
        <v>54</v>
      </c>
      <c r="C18" s="14" t="s">
        <v>55</v>
      </c>
    </row>
    <row r="19" spans="1:3">
      <c r="A19" s="15" t="s">
        <v>56</v>
      </c>
      <c r="B19" s="20">
        <v>0.4</v>
      </c>
      <c r="C19" s="15" t="s">
        <v>8</v>
      </c>
    </row>
    <row r="20" spans="1:3">
      <c r="A20" s="15" t="s">
        <v>9</v>
      </c>
      <c r="B20" s="20">
        <v>0.4</v>
      </c>
      <c r="C20" s="15" t="s">
        <v>49</v>
      </c>
    </row>
    <row r="21" spans="1:3">
      <c r="A21" s="15" t="s">
        <v>10</v>
      </c>
      <c r="B21" s="20">
        <v>0.2</v>
      </c>
      <c r="C21" s="15" t="s">
        <v>57</v>
      </c>
    </row>
    <row r="23" spans="1:3">
      <c r="A23" t="s">
        <v>24</v>
      </c>
      <c r="B23" s="27" t="s">
        <v>58</v>
      </c>
      <c r="C23" s="23"/>
    </row>
    <row r="24" spans="1:3">
      <c r="B24" s="23"/>
      <c r="C24" s="23"/>
    </row>
  </sheetData>
  <mergeCells count="5">
    <mergeCell ref="A2:H2"/>
    <mergeCell ref="A17:C17"/>
    <mergeCell ref="B23:C24"/>
    <mergeCell ref="A1:H1"/>
    <mergeCell ref="A4:C4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A1:H22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4.4"/>
  <cols>
    <col min="1" max="1" width="42" customWidth="1"/>
    <col min="2" max="2" width="19" customWidth="1"/>
    <col min="3" max="3" width="45" customWidth="1"/>
  </cols>
  <sheetData>
    <row r="1" spans="1:8" ht="22.8">
      <c r="A1" s="25" t="s">
        <v>59</v>
      </c>
      <c r="B1" s="23"/>
      <c r="C1" s="23"/>
      <c r="D1" s="23"/>
      <c r="E1" s="23"/>
      <c r="F1" s="23"/>
      <c r="G1" s="23"/>
      <c r="H1" s="23"/>
    </row>
    <row r="2" spans="1:8">
      <c r="A2" s="22" t="s">
        <v>60</v>
      </c>
      <c r="B2" s="23"/>
      <c r="C2" s="23"/>
      <c r="D2" s="23"/>
      <c r="E2" s="23"/>
      <c r="F2" s="23"/>
      <c r="G2" s="23"/>
      <c r="H2" s="23"/>
    </row>
    <row r="4" spans="1:8">
      <c r="A4" s="29" t="s">
        <v>61</v>
      </c>
      <c r="B4" s="30"/>
      <c r="C4" s="30"/>
    </row>
    <row r="5" spans="1:8">
      <c r="A5" s="31" t="s">
        <v>31</v>
      </c>
      <c r="B5" s="31" t="s">
        <v>43</v>
      </c>
      <c r="C5" s="31" t="s">
        <v>62</v>
      </c>
    </row>
    <row r="6" spans="1:8">
      <c r="A6" s="15" t="s">
        <v>6</v>
      </c>
      <c r="B6" s="18">
        <f>'Cover &amp; Summary'!B8</f>
        <v>15.54</v>
      </c>
      <c r="C6" s="15" t="s">
        <v>63</v>
      </c>
    </row>
    <row r="7" spans="1:8">
      <c r="A7" s="15" t="s">
        <v>64</v>
      </c>
      <c r="B7" s="18">
        <f>'Cover &amp; Summary'!B9</f>
        <v>40.020000000000003</v>
      </c>
      <c r="C7" s="15" t="s">
        <v>63</v>
      </c>
    </row>
    <row r="8" spans="1:8">
      <c r="A8" s="15" t="s">
        <v>65</v>
      </c>
      <c r="B8" s="16">
        <v>4</v>
      </c>
      <c r="C8" s="15" t="s">
        <v>66</v>
      </c>
    </row>
    <row r="9" spans="1:8">
      <c r="A9" s="15" t="s">
        <v>67</v>
      </c>
      <c r="B9" s="18">
        <f>B6*B8</f>
        <v>62.16</v>
      </c>
      <c r="C9" s="15" t="s">
        <v>68</v>
      </c>
    </row>
    <row r="10" spans="1:8">
      <c r="A10" s="15" t="s">
        <v>23</v>
      </c>
      <c r="B10" s="18">
        <f>B9-B7</f>
        <v>22.139999999999993</v>
      </c>
      <c r="C10" s="15" t="s">
        <v>69</v>
      </c>
    </row>
    <row r="11" spans="1:8">
      <c r="A11" s="15" t="s">
        <v>12</v>
      </c>
      <c r="B11" s="18">
        <v>2</v>
      </c>
      <c r="C11" s="15" t="s">
        <v>70</v>
      </c>
    </row>
    <row r="12" spans="1:8">
      <c r="A12" s="15" t="s">
        <v>71</v>
      </c>
      <c r="B12" s="19">
        <v>0.08</v>
      </c>
      <c r="C12" s="15" t="s">
        <v>70</v>
      </c>
    </row>
    <row r="13" spans="1:8">
      <c r="A13" s="15" t="s">
        <v>72</v>
      </c>
      <c r="B13" s="17">
        <f>B11*B12</f>
        <v>0.16</v>
      </c>
      <c r="C13" s="15" t="s">
        <v>73</v>
      </c>
    </row>
    <row r="14" spans="1:8">
      <c r="A14" s="15" t="s">
        <v>19</v>
      </c>
      <c r="B14" s="18">
        <f>B7+B11</f>
        <v>42.02</v>
      </c>
      <c r="C14" s="15" t="s">
        <v>74</v>
      </c>
    </row>
    <row r="15" spans="1:8">
      <c r="A15" s="15" t="s">
        <v>20</v>
      </c>
      <c r="B15" s="16">
        <f>B14/B6</f>
        <v>2.7039897039897043</v>
      </c>
      <c r="C15" s="15" t="s">
        <v>75</v>
      </c>
    </row>
    <row r="16" spans="1:8">
      <c r="A16" s="15" t="s">
        <v>76</v>
      </c>
      <c r="B16" s="17">
        <f>'Cover &amp; Summary'!B21</f>
        <v>1.1208077893977642</v>
      </c>
      <c r="C16" s="15" t="s">
        <v>77</v>
      </c>
    </row>
    <row r="17" spans="1:3">
      <c r="A17" s="15" t="s">
        <v>78</v>
      </c>
      <c r="B17" s="17">
        <f>B16+B13</f>
        <v>1.2808077893977641</v>
      </c>
      <c r="C17" s="15" t="s">
        <v>79</v>
      </c>
    </row>
    <row r="18" spans="1:3">
      <c r="A18" s="15" t="s">
        <v>21</v>
      </c>
      <c r="B18" s="16">
        <f>B6/B17</f>
        <v>12.132968060185602</v>
      </c>
      <c r="C18" s="15" t="s">
        <v>80</v>
      </c>
    </row>
    <row r="20" spans="1:3">
      <c r="A20" t="s">
        <v>81</v>
      </c>
      <c r="B20" s="27" t="s">
        <v>82</v>
      </c>
      <c r="C20" s="23"/>
    </row>
    <row r="21" spans="1:3">
      <c r="B21" s="23"/>
      <c r="C21" s="23"/>
    </row>
    <row r="22" spans="1:3">
      <c r="B22" s="23"/>
      <c r="C22" s="23"/>
    </row>
  </sheetData>
  <mergeCells count="4">
    <mergeCell ref="A4:C4"/>
    <mergeCell ref="B20:C22"/>
    <mergeCell ref="A2:H2"/>
    <mergeCell ref="A1:H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A1:H19"/>
  <sheetViews>
    <sheetView showGridLines="0" workbookViewId="0">
      <pane ySplit="4" topLeftCell="A5" activePane="bottomLeft" state="frozen"/>
      <selection pane="bottomLeft" activeCell="E15" sqref="E15"/>
    </sheetView>
  </sheetViews>
  <sheetFormatPr defaultRowHeight="14.4"/>
  <cols>
    <col min="1" max="1" width="32" customWidth="1"/>
    <col min="2" max="3" width="20" customWidth="1"/>
    <col min="4" max="5" width="25" customWidth="1"/>
  </cols>
  <sheetData>
    <row r="1" spans="1:8" ht="22.8">
      <c r="A1" s="25" t="s">
        <v>83</v>
      </c>
      <c r="B1" s="23"/>
      <c r="C1" s="23"/>
      <c r="D1" s="23"/>
      <c r="E1" s="23"/>
      <c r="F1" s="23"/>
      <c r="G1" s="23"/>
      <c r="H1" s="23"/>
    </row>
    <row r="2" spans="1:8">
      <c r="A2" s="22" t="s">
        <v>84</v>
      </c>
      <c r="B2" s="23"/>
      <c r="C2" s="23"/>
      <c r="D2" s="23"/>
      <c r="E2" s="23"/>
      <c r="F2" s="23"/>
      <c r="G2" s="23"/>
      <c r="H2" s="23"/>
    </row>
    <row r="4" spans="1:8">
      <c r="A4" s="29" t="s">
        <v>85</v>
      </c>
      <c r="B4" s="30"/>
      <c r="C4" s="30"/>
      <c r="D4" s="30"/>
      <c r="E4" s="30"/>
    </row>
    <row r="5" spans="1:8">
      <c r="A5" s="31" t="s">
        <v>86</v>
      </c>
      <c r="B5" s="31" t="s">
        <v>8</v>
      </c>
      <c r="C5" s="31" t="s">
        <v>9</v>
      </c>
      <c r="D5" s="31" t="s">
        <v>87</v>
      </c>
      <c r="E5" s="31" t="s">
        <v>88</v>
      </c>
    </row>
    <row r="6" spans="1:8">
      <c r="A6" s="15" t="s">
        <v>89</v>
      </c>
      <c r="B6" s="16">
        <v>2.46</v>
      </c>
      <c r="C6" s="16">
        <v>13.32</v>
      </c>
      <c r="D6" s="16">
        <f>4-B6</f>
        <v>1.54</v>
      </c>
      <c r="E6" s="16">
        <f>C6-3</f>
        <v>10.32</v>
      </c>
    </row>
    <row r="7" spans="1:8">
      <c r="A7" s="15" t="s">
        <v>90</v>
      </c>
      <c r="B7" s="16">
        <v>3.29</v>
      </c>
      <c r="C7" s="16">
        <v>8.81</v>
      </c>
      <c r="D7" s="16">
        <f>4-B7</f>
        <v>0.71</v>
      </c>
      <c r="E7" s="16">
        <f>C7-3</f>
        <v>5.8100000000000005</v>
      </c>
    </row>
    <row r="8" spans="1:8">
      <c r="A8" s="15" t="s">
        <v>91</v>
      </c>
      <c r="B8" s="16">
        <v>4.66</v>
      </c>
      <c r="C8" s="16">
        <v>5.58</v>
      </c>
      <c r="D8" s="16">
        <f>4-B8</f>
        <v>-0.66000000000000014</v>
      </c>
      <c r="E8" s="16">
        <f>C8-3</f>
        <v>2.58</v>
      </c>
    </row>
    <row r="11" spans="1:8">
      <c r="A11" s="29" t="s">
        <v>92</v>
      </c>
      <c r="B11" s="30"/>
      <c r="C11" s="30"/>
      <c r="D11" s="30"/>
    </row>
    <row r="12" spans="1:8">
      <c r="A12" s="31" t="s">
        <v>86</v>
      </c>
      <c r="B12" s="31" t="s">
        <v>93</v>
      </c>
      <c r="C12" s="31" t="s">
        <v>94</v>
      </c>
      <c r="D12" s="31" t="s">
        <v>95</v>
      </c>
    </row>
    <row r="13" spans="1:8">
      <c r="A13" s="15" t="s">
        <v>89</v>
      </c>
      <c r="B13" s="15" t="s">
        <v>96</v>
      </c>
      <c r="C13" s="15" t="s">
        <v>97</v>
      </c>
      <c r="D13" s="15" t="s">
        <v>97</v>
      </c>
    </row>
    <row r="14" spans="1:8">
      <c r="A14" s="15" t="s">
        <v>90</v>
      </c>
      <c r="B14" s="15" t="s">
        <v>98</v>
      </c>
      <c r="C14" s="15" t="s">
        <v>99</v>
      </c>
      <c r="D14" s="15" t="s">
        <v>100</v>
      </c>
    </row>
    <row r="15" spans="1:8">
      <c r="A15" s="15" t="s">
        <v>91</v>
      </c>
      <c r="B15" s="15" t="s">
        <v>101</v>
      </c>
      <c r="C15" s="15" t="s">
        <v>102</v>
      </c>
      <c r="D15" s="15" t="s">
        <v>103</v>
      </c>
    </row>
    <row r="17" spans="1:5">
      <c r="A17" t="s">
        <v>104</v>
      </c>
      <c r="B17" s="27" t="s">
        <v>105</v>
      </c>
      <c r="C17" s="23"/>
      <c r="D17" s="23"/>
      <c r="E17" s="23"/>
    </row>
    <row r="18" spans="1:5">
      <c r="B18" s="23"/>
      <c r="C18" s="23"/>
      <c r="D18" s="23"/>
      <c r="E18" s="23"/>
    </row>
    <row r="19" spans="1:5">
      <c r="B19" s="23"/>
      <c r="C19" s="23"/>
      <c r="D19" s="23"/>
      <c r="E19" s="23"/>
    </row>
  </sheetData>
  <mergeCells count="5">
    <mergeCell ref="A1:H1"/>
    <mergeCell ref="A4:E4"/>
    <mergeCell ref="B17:E19"/>
    <mergeCell ref="A2:H2"/>
    <mergeCell ref="A11:D11"/>
  </mergeCells>
  <conditionalFormatting sqref="D6:D8">
    <cfRule type="cellIs" dxfId="1" priority="1" operator="lessThan">
      <formula>0</formula>
    </cfRule>
  </conditionalFormatting>
  <conditionalFormatting sqref="E6:E8">
    <cfRule type="cellIs" dxfId="0" priority="2" operator="lessThan">
      <formula>0</formula>
    </cfRule>
  </conditionalFormatting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A1:H34"/>
  <sheetViews>
    <sheetView showGridLines="0" workbookViewId="0">
      <pane ySplit="4" topLeftCell="A5" activePane="bottomLeft" state="frozen"/>
      <selection pane="bottomLeft" activeCell="G13" sqref="G13"/>
    </sheetView>
  </sheetViews>
  <sheetFormatPr defaultRowHeight="14.4"/>
  <cols>
    <col min="1" max="1" width="22" customWidth="1"/>
    <col min="2" max="8" width="16" customWidth="1"/>
  </cols>
  <sheetData>
    <row r="1" spans="1:8" ht="22.8">
      <c r="A1" s="25" t="s">
        <v>106</v>
      </c>
      <c r="B1" s="23"/>
      <c r="C1" s="23"/>
      <c r="D1" s="23"/>
      <c r="E1" s="23"/>
      <c r="F1" s="23"/>
      <c r="G1" s="23"/>
      <c r="H1" s="23"/>
    </row>
    <row r="2" spans="1:8">
      <c r="A2" s="22" t="s">
        <v>107</v>
      </c>
      <c r="B2" s="23"/>
      <c r="C2" s="23"/>
      <c r="D2" s="23"/>
      <c r="E2" s="23"/>
      <c r="F2" s="23"/>
      <c r="G2" s="23"/>
      <c r="H2" s="23"/>
    </row>
    <row r="4" spans="1:8">
      <c r="A4" s="29" t="s">
        <v>108</v>
      </c>
      <c r="B4" s="30"/>
      <c r="C4" s="30"/>
      <c r="D4" s="30"/>
      <c r="E4" s="30"/>
      <c r="F4" s="30"/>
      <c r="G4" s="30"/>
      <c r="H4" s="30"/>
    </row>
    <row r="5" spans="1:8">
      <c r="A5" s="31" t="s">
        <v>31</v>
      </c>
      <c r="B5" s="31">
        <v>2022</v>
      </c>
      <c r="C5" s="31">
        <v>2023</v>
      </c>
      <c r="D5" s="31">
        <v>2024</v>
      </c>
      <c r="E5" s="31">
        <v>2025</v>
      </c>
    </row>
    <row r="6" spans="1:8">
      <c r="A6" t="s">
        <v>8</v>
      </c>
      <c r="B6" s="21">
        <v>2.286</v>
      </c>
      <c r="C6" s="21">
        <v>2.1829999999999998</v>
      </c>
      <c r="D6" s="21">
        <v>2.1459999999999999</v>
      </c>
      <c r="E6" s="21">
        <v>2.5750000000000002</v>
      </c>
    </row>
    <row r="7" spans="1:8">
      <c r="A7" t="s">
        <v>9</v>
      </c>
      <c r="B7" s="21">
        <v>15.894</v>
      </c>
      <c r="C7" s="21">
        <v>19.236000000000001</v>
      </c>
      <c r="D7" s="21">
        <v>18.149999999999999</v>
      </c>
      <c r="E7" s="21">
        <v>13.865</v>
      </c>
    </row>
    <row r="25" spans="1:8">
      <c r="A25" s="29" t="s">
        <v>109</v>
      </c>
      <c r="B25" s="30"/>
      <c r="C25" s="30"/>
      <c r="D25" s="30"/>
      <c r="E25" s="30"/>
      <c r="F25" s="30"/>
      <c r="G25" s="30"/>
      <c r="H25" s="30"/>
    </row>
    <row r="26" spans="1:8">
      <c r="A26" s="29" t="s">
        <v>86</v>
      </c>
      <c r="B26" s="30" t="s">
        <v>56</v>
      </c>
      <c r="C26" s="30" t="s">
        <v>110</v>
      </c>
      <c r="D26" s="30"/>
      <c r="E26" s="30"/>
      <c r="F26" s="30"/>
      <c r="G26" s="30"/>
      <c r="H26" s="30"/>
    </row>
    <row r="27" spans="1:8">
      <c r="A27" t="s">
        <v>89</v>
      </c>
      <c r="B27" s="21">
        <v>2.46</v>
      </c>
      <c r="C27" s="21">
        <v>13.32</v>
      </c>
    </row>
    <row r="28" spans="1:8">
      <c r="A28" t="s">
        <v>90</v>
      </c>
      <c r="B28" s="21">
        <v>3.29</v>
      </c>
      <c r="C28" s="21">
        <v>8.81</v>
      </c>
    </row>
    <row r="29" spans="1:8">
      <c r="A29" t="s">
        <v>91</v>
      </c>
      <c r="B29" s="21">
        <v>4.66</v>
      </c>
      <c r="C29" s="21">
        <v>5.58</v>
      </c>
    </row>
    <row r="32" spans="1:8">
      <c r="A32" t="s">
        <v>111</v>
      </c>
      <c r="B32" s="27" t="s">
        <v>112</v>
      </c>
      <c r="C32" s="23"/>
      <c r="D32" s="23"/>
      <c r="E32" s="23"/>
      <c r="F32" s="23"/>
      <c r="G32" s="23"/>
      <c r="H32" s="23"/>
    </row>
    <row r="33" spans="2:8">
      <c r="B33" s="23"/>
      <c r="C33" s="23"/>
      <c r="D33" s="23"/>
      <c r="E33" s="23"/>
      <c r="F33" s="23"/>
      <c r="G33" s="23"/>
      <c r="H33" s="23"/>
    </row>
    <row r="34" spans="2:8">
      <c r="B34" s="23"/>
      <c r="C34" s="23"/>
      <c r="D34" s="23"/>
      <c r="E34" s="23"/>
      <c r="F34" s="23"/>
      <c r="G34" s="23"/>
      <c r="H34" s="23"/>
    </row>
  </sheetData>
  <mergeCells count="6">
    <mergeCell ref="A4:H4"/>
    <mergeCell ref="A25:H25"/>
    <mergeCell ref="A2:H2"/>
    <mergeCell ref="A1:H1"/>
    <mergeCell ref="B32:H34"/>
    <mergeCell ref="A26:H26"/>
  </mergeCells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365D"/>
  </sheetPr>
  <dimension ref="A1:H29"/>
  <sheetViews>
    <sheetView showGridLines="0" workbookViewId="0">
      <pane ySplit="4" topLeftCell="A12" activePane="bottomLeft" state="frozen"/>
      <selection pane="bottomLeft" sqref="A1:H1"/>
    </sheetView>
  </sheetViews>
  <sheetFormatPr defaultRowHeight="14.4"/>
  <cols>
    <col min="1" max="1" width="34" customWidth="1"/>
    <col min="2" max="2" width="78" customWidth="1"/>
  </cols>
  <sheetData>
    <row r="1" spans="1:8" ht="22.8">
      <c r="A1" s="25" t="s">
        <v>113</v>
      </c>
      <c r="B1" s="23"/>
      <c r="C1" s="23"/>
      <c r="D1" s="23"/>
      <c r="E1" s="23"/>
      <c r="F1" s="23"/>
      <c r="G1" s="23"/>
      <c r="H1" s="23"/>
    </row>
    <row r="2" spans="1:8">
      <c r="A2" s="22" t="s">
        <v>114</v>
      </c>
      <c r="B2" s="23"/>
      <c r="C2" s="23"/>
      <c r="D2" s="23"/>
      <c r="E2" s="23"/>
      <c r="F2" s="23"/>
      <c r="G2" s="23"/>
      <c r="H2" s="23"/>
    </row>
    <row r="4" spans="1:8">
      <c r="A4" s="26" t="s">
        <v>115</v>
      </c>
      <c r="B4" s="23"/>
    </row>
    <row r="5" spans="1:8">
      <c r="A5" s="15" t="s">
        <v>116</v>
      </c>
      <c r="B5" s="15" t="s">
        <v>117</v>
      </c>
    </row>
    <row r="6" spans="1:8">
      <c r="A6" s="15" t="s">
        <v>118</v>
      </c>
      <c r="B6" s="15" t="s">
        <v>119</v>
      </c>
    </row>
    <row r="7" spans="1:8">
      <c r="A7" s="15" t="s">
        <v>120</v>
      </c>
      <c r="B7" s="15" t="s">
        <v>121</v>
      </c>
    </row>
    <row r="8" spans="1:8">
      <c r="A8" s="15" t="s">
        <v>122</v>
      </c>
      <c r="B8" s="15" t="s">
        <v>123</v>
      </c>
    </row>
    <row r="9" spans="1:8">
      <c r="A9" s="15" t="s">
        <v>16</v>
      </c>
      <c r="B9" s="15" t="s">
        <v>124</v>
      </c>
    </row>
    <row r="10" spans="1:8">
      <c r="A10" s="15" t="s">
        <v>125</v>
      </c>
      <c r="B10" s="15" t="s">
        <v>126</v>
      </c>
    </row>
    <row r="11" spans="1:8">
      <c r="A11" s="15" t="s">
        <v>127</v>
      </c>
      <c r="B11" s="15" t="s">
        <v>128</v>
      </c>
    </row>
    <row r="14" spans="1:8">
      <c r="A14" s="26" t="s">
        <v>129</v>
      </c>
      <c r="B14" s="23"/>
    </row>
    <row r="15" spans="1:8">
      <c r="A15" s="15" t="s">
        <v>8</v>
      </c>
      <c r="B15" s="15" t="s">
        <v>130</v>
      </c>
    </row>
    <row r="16" spans="1:8">
      <c r="A16" s="15" t="s">
        <v>9</v>
      </c>
      <c r="B16" s="15" t="s">
        <v>131</v>
      </c>
    </row>
    <row r="17" spans="1:2">
      <c r="A17" s="15" t="s">
        <v>10</v>
      </c>
      <c r="B17" s="15" t="s">
        <v>132</v>
      </c>
    </row>
    <row r="18" spans="1:2">
      <c r="A18" s="15" t="s">
        <v>59</v>
      </c>
      <c r="B18" s="15" t="s">
        <v>133</v>
      </c>
    </row>
    <row r="19" spans="1:2">
      <c r="A19" s="15" t="s">
        <v>134</v>
      </c>
      <c r="B19" s="15" t="s">
        <v>135</v>
      </c>
    </row>
    <row r="22" spans="1:2">
      <c r="A22" s="26" t="s">
        <v>136</v>
      </c>
      <c r="B22" s="23"/>
    </row>
    <row r="23" spans="1:2">
      <c r="A23" s="28" t="s">
        <v>137</v>
      </c>
      <c r="B23" s="23"/>
    </row>
    <row r="24" spans="1:2">
      <c r="A24" s="28" t="s">
        <v>138</v>
      </c>
      <c r="B24" s="23"/>
    </row>
    <row r="25" spans="1:2">
      <c r="A25" s="28" t="s">
        <v>139</v>
      </c>
      <c r="B25" s="23"/>
    </row>
    <row r="26" spans="1:2">
      <c r="A26" s="28" t="s">
        <v>140</v>
      </c>
      <c r="B26" s="23"/>
    </row>
    <row r="27" spans="1:2">
      <c r="A27" s="28" t="s">
        <v>141</v>
      </c>
      <c r="B27" s="23"/>
    </row>
    <row r="28" spans="1:2">
      <c r="A28" s="28" t="s">
        <v>142</v>
      </c>
      <c r="B28" s="23"/>
    </row>
    <row r="29" spans="1:2">
      <c r="A29" s="28" t="s">
        <v>143</v>
      </c>
      <c r="B29" s="23"/>
    </row>
  </sheetData>
  <mergeCells count="12">
    <mergeCell ref="A2:H2"/>
    <mergeCell ref="A23:B23"/>
    <mergeCell ref="A28:B28"/>
    <mergeCell ref="A14:B14"/>
    <mergeCell ref="A1:H1"/>
    <mergeCell ref="A27:B27"/>
    <mergeCell ref="A22:B22"/>
    <mergeCell ref="A4:B4"/>
    <mergeCell ref="A26:B26"/>
    <mergeCell ref="A24:B24"/>
    <mergeCell ref="A29:B29"/>
    <mergeCell ref="A25:B2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&amp; Summary</vt:lpstr>
      <vt:lpstr>Historical Financials</vt:lpstr>
      <vt:lpstr>Credit Metrics</vt:lpstr>
      <vt:lpstr>Debt Capacity</vt:lpstr>
      <vt:lpstr>Stress Test</vt:lpstr>
      <vt:lpstr>Dashboard</vt:lpstr>
      <vt:lpstr>Methodology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Private Credit Underwriting &amp; Borrower Risk Assessment - PepsiCo</dc:title>
  <dc:creator>Ayaan / ChatGPT</dc:creator>
  <cp:lastModifiedBy>acer</cp:lastModifiedBy>
  <dcterms:created xsi:type="dcterms:W3CDTF">2026-09-21T18:07:20Z</dcterms:created>
  <dcterms:modified xsi:type="dcterms:W3CDTF">2026-09-21T19:02:05Z</dcterms:modified>
</cp:coreProperties>
</file>